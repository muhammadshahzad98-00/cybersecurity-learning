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e0cd0fec16c0caf/excel/"/>
    </mc:Choice>
  </mc:AlternateContent>
  <xr:revisionPtr revIDLastSave="0" documentId="8_{ED9A57BC-8034-4402-85FF-6B35DF3C65AE}" xr6:coauthVersionLast="47" xr6:coauthVersionMax="47" xr10:uidLastSave="{00000000-0000-0000-0000-000000000000}"/>
  <bookViews>
    <workbookView xWindow="-108" yWindow="-108" windowWidth="23256" windowHeight="12456" xr2:uid="{783B3C76-6D0D-41A7-977B-80E020F5BF5F}"/>
  </bookViews>
  <sheets>
    <sheet name="Sheet1" sheetId="2" r:id="rId1"/>
    <sheet name="Smart Sales System" sheetId="1" r:id="rId2"/>
  </sheets>
  <definedNames>
    <definedName name="_xlnm._FilterDatabase" localSheetId="1" hidden="1">'Smart Sales System'!$A$8:$E$12</definedName>
  </definedNames>
  <calcPr calcId="191029"/>
  <pivotCaches>
    <pivotCache cacheId="17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1" i="1" l="1"/>
  <c r="F11" i="1" s="1"/>
  <c r="E10" i="1"/>
  <c r="F10" i="1" s="1"/>
  <c r="E9" i="1"/>
  <c r="F9" i="1" s="1"/>
  <c r="D12" i="1" l="1"/>
</calcChain>
</file>

<file path=xl/sharedStrings.xml><?xml version="1.0" encoding="utf-8"?>
<sst xmlns="http://schemas.openxmlformats.org/spreadsheetml/2006/main" count="29" uniqueCount="19">
  <si>
    <t>Product ID</t>
  </si>
  <si>
    <t>Price</t>
  </si>
  <si>
    <r>
      <rPr>
        <b/>
        <sz val="11"/>
        <color theme="1"/>
        <rFont val="Aptos Narrow"/>
        <family val="2"/>
        <scheme val="minor"/>
      </rPr>
      <t>Product</t>
    </r>
    <r>
      <rPr>
        <sz val="11"/>
        <color theme="1"/>
        <rFont val="Aptos Narrow"/>
        <family val="2"/>
        <scheme val="minor"/>
      </rPr>
      <t xml:space="preserve"> </t>
    </r>
  </si>
  <si>
    <t>P001</t>
  </si>
  <si>
    <t>Phone</t>
  </si>
  <si>
    <t>Laptop</t>
  </si>
  <si>
    <t>P003</t>
  </si>
  <si>
    <t>P002</t>
  </si>
  <si>
    <t>Order ID</t>
  </si>
  <si>
    <t>Quantity</t>
  </si>
  <si>
    <t>Total</t>
  </si>
  <si>
    <t>Status</t>
  </si>
  <si>
    <t>Smart Sales System</t>
  </si>
  <si>
    <t>Total Revenue</t>
  </si>
  <si>
    <t>Row Labels</t>
  </si>
  <si>
    <t>Grand Total</t>
  </si>
  <si>
    <t>Sum of Total</t>
  </si>
  <si>
    <t>Product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</si>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</sst>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1" xfId="0" applyFont="1" applyBorder="1"/>
    <xf numFmtId="0" fontId="0" fillId="0" borderId="1" xfId="0" applyBorder="1"/>
    <xf numFmtId="0" fontId="2" fillId="0" borderId="0" xfId="0" applyFont="1"/>
    <xf numFmtId="164" fontId="0" fillId="0" borderId="1" xfId="0" applyNumberFormat="1" applyBorder="1"/>
    <xf numFmtId="164" fontId="0" fillId="0" borderId="1" xfId="0" applyNumberFormat="1" applyBorder="1" applyAlignment="1">
      <alignment vertical="center" wrapText="1"/>
    </xf>
    <xf numFmtId="0" fontId="0" fillId="0" borderId="2" xfId="0" applyBorder="1"/>
    <xf numFmtId="164" fontId="0" fillId="0" borderId="3" xfId="0" applyNumberFormat="1" applyBorder="1"/>
    <xf numFmtId="0" fontId="1" fillId="0" borderId="4" xfId="0" applyFont="1" applyBorder="1"/>
    <xf numFmtId="0" fontId="0" fillId="0" borderId="5" xfId="0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164" fontId="0" fillId="0" borderId="9" xfId="0" applyNumberFormat="1" applyBorder="1"/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164" fontId="0" fillId="0" borderId="8" xfId="0" applyNumberForma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7"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£&quot;#,##0.00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£&quot;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[interactive-sales-dashboard.xlsx]Sheet1!PivotTable1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Sales by Product</a:t>
            </a:r>
            <a:endParaRPr lang="en-US"/>
          </a:p>
        </c:rich>
      </c:tx>
      <c:layout>
        <c:manualLayout>
          <c:xMode val="edge"/>
          <c:yMode val="edge"/>
          <c:x val="0.33423184322406985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3"/>
                <c:pt idx="0">
                  <c:v>Laptop</c:v>
                </c:pt>
                <c:pt idx="1">
                  <c:v>Phone</c:v>
                </c:pt>
                <c:pt idx="2">
                  <c:v>Tablet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3"/>
                <c:pt idx="0">
                  <c:v>900</c:v>
                </c:pt>
                <c:pt idx="1">
                  <c:v>1000</c:v>
                </c:pt>
                <c:pt idx="2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B63-4819-812C-1E5DF45E3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6194495"/>
        <c:axId val="10039199"/>
      </c:barChart>
      <c:catAx>
        <c:axId val="346194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9199"/>
        <c:crosses val="autoZero"/>
        <c:auto val="1"/>
        <c:lblAlgn val="ctr"/>
        <c:lblOffset val="100"/>
        <c:noMultiLvlLbl val="0"/>
      </c:catAx>
      <c:valAx>
        <c:axId val="1003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194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632460</xdr:colOff>
      <xdr:row>3</xdr:row>
      <xdr:rowOff>45720</xdr:rowOff>
    </xdr:from>
    <xdr:to>
      <xdr:col>10</xdr:col>
      <xdr:colOff>22860</xdr:colOff>
      <xdr:row>18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8588201-B18F-FB4C-41B0-C54FBE4494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zen" refreshedDate="46133.919375231482" createdVersion="8" refreshedVersion="8" minRefreshableVersion="3" recordCount="3" xr:uid="{7EB4A77F-AE94-4FE1-A85C-6E0F10220BC2}">
  <cacheSource type="worksheet">
    <worksheetSource name="Table2"/>
  </cacheSource>
  <cacheFields count="6">
    <cacheField name="Order ID" numFmtId="0">
      <sharedItems containsSemiMixedTypes="0" containsString="0" containsNumber="1" containsInteger="1" minValue="1" maxValue="3"/>
    </cacheField>
    <cacheField name="Product ID" numFmtId="0">
      <sharedItems/>
    </cacheField>
    <cacheField name="Product" numFmtId="0">
      <sharedItems count="3">
        <s v="Phone"/>
        <s v="Laptop"/>
        <s v="Tablet"/>
      </sharedItems>
    </cacheField>
    <cacheField name="Quantity" numFmtId="0">
      <sharedItems containsSemiMixedTypes="0" containsString="0" containsNumber="1" containsInteger="1" minValue="1" maxValue="3"/>
    </cacheField>
    <cacheField name="Total" numFmtId="164">
      <sharedItems containsSemiMixedTypes="0" containsString="0" containsNumber="1" containsInteger="1" minValue="900" maxValue="1000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1"/>
    <s v="P001"/>
    <x v="0"/>
    <n v="2"/>
    <n v="1000"/>
    <s v="High Sale"/>
  </r>
  <r>
    <n v="2"/>
    <s v="P002"/>
    <x v="1"/>
    <n v="1"/>
    <n v="900"/>
    <s v="Medium"/>
  </r>
  <r>
    <n v="3"/>
    <s v="P003"/>
    <x v="2"/>
    <n v="3"/>
    <n v="900"/>
    <s v="Mediu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F2BC0F-9A6F-4A5A-85E0-0891A8D22F16}" name="PivotTable1" cacheId="1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5" firstHeaderRow="1" firstDataRow="1" firstDataCol="1"/>
  <pivotFields count="6">
    <pivotField showAll="0"/>
    <pivotField name="Product " showAll="0"/>
    <pivotField axis="axisRow" showAll="0" sortType="ascending">
      <items count="4">
        <item x="1"/>
        <item x="0"/>
        <item x="2"/>
        <item t="default"/>
      </items>
    </pivotField>
    <pivotField showAll="0"/>
    <pivotField dataField="1" numFmtId="164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4" baseField="0" baseItem="0"/>
  </dataFields>
  <chartFormats count="2"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CEF8D2-E756-4151-90C0-C099DEB0BCA5}" name="Table1" displayName="Table1" ref="A1:C4" totalsRowShown="0" headerRowBorderDxfId="15" tableBorderDxfId="16" totalsRowBorderDxfId="14">
  <autoFilter ref="A1:C4" xr:uid="{0ACEF8D2-E756-4151-90C0-C099DEB0BCA5}"/>
  <tableColumns count="3">
    <tableColumn id="1" xr3:uid="{459A9DDA-417F-46ED-B59C-2D2E9BB7EDFE}" name="Product ID" dataDxfId="13"/>
    <tableColumn id="2" xr3:uid="{D7BE5169-F600-4858-A88F-462E3FB985D7}" name="Product " dataDxfId="12"/>
    <tableColumn id="3" xr3:uid="{A6D02A08-52B4-4A8E-A963-4DA8B9FE8DAD}" name="Price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F3F133-0B91-4D46-AB25-FFB5A2531B3A}" name="Table2" displayName="Table2" ref="A8:F11" totalsRowShown="0" headerRowDxfId="2" headerRowBorderDxfId="9" tableBorderDxfId="10" totalsRowBorderDxfId="8">
  <autoFilter ref="A8:F11" xr:uid="{2DF3F133-0B91-4D46-AB25-FFB5A2531B3A}"/>
  <tableColumns count="6">
    <tableColumn id="1" xr3:uid="{04C81F08-F3CB-40E8-A15F-CC75FCEA5936}" name="Order ID" dataDxfId="7"/>
    <tableColumn id="2" xr3:uid="{F32376C3-A727-4AFF-91B5-2581CFBBD380}" name="Product ID" dataDxfId="6"/>
    <tableColumn id="7" xr3:uid="{015604AC-4ADC-4270-8232-D780D54EC97F}" name="Product" dataDxfId="0"/>
    <tableColumn id="3" xr3:uid="{449FC8FD-FD38-414C-B298-D1D0928D36B9}" name="Quantity" dataDxfId="5"/>
    <tableColumn id="4" xr3:uid="{FACECADD-7564-4751-B9A8-FDF1160A5A65}" name="Total" dataDxfId="4"/>
    <tableColumn id="5" xr3:uid="{12DCB69D-F546-4238-A21B-0E0967DEED3E}" name="Status" dataDxfId="3">
      <calculatedColumnFormula>IF(E9&gt;=1000,"High Sale",IF(E9&gt;=800,"Medium","Low"))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F0596-67CF-4F1B-B10A-31AD8C2492F3}">
  <dimension ref="A1:B5"/>
  <sheetViews>
    <sheetView tabSelected="1" workbookViewId="0">
      <selection activeCell="B12" sqref="B12"/>
    </sheetView>
  </sheetViews>
  <sheetFormatPr defaultRowHeight="14.4" x14ac:dyDescent="0.3"/>
  <cols>
    <col min="1" max="1" width="12.44140625" bestFit="1" customWidth="1"/>
    <col min="2" max="2" width="11.109375" bestFit="1" customWidth="1"/>
    <col min="3" max="3" width="14" bestFit="1" customWidth="1"/>
    <col min="4" max="4" width="11.109375" bestFit="1" customWidth="1"/>
  </cols>
  <sheetData>
    <row r="1" spans="1:2" x14ac:dyDescent="0.3">
      <c r="A1" s="25" t="s">
        <v>14</v>
      </c>
      <c r="B1" t="s">
        <v>16</v>
      </c>
    </row>
    <row r="2" spans="1:2" x14ac:dyDescent="0.3">
      <c r="A2" s="26" t="s">
        <v>5</v>
      </c>
      <c r="B2" s="24">
        <v>900</v>
      </c>
    </row>
    <row r="3" spans="1:2" x14ac:dyDescent="0.3">
      <c r="A3" s="26" t="s">
        <v>4</v>
      </c>
      <c r="B3" s="24">
        <v>1000</v>
      </c>
    </row>
    <row r="4" spans="1:2" x14ac:dyDescent="0.3">
      <c r="A4" s="26" t="s">
        <v>18</v>
      </c>
      <c r="B4" s="24">
        <v>900</v>
      </c>
    </row>
    <row r="5" spans="1:2" x14ac:dyDescent="0.3">
      <c r="A5" s="26" t="s">
        <v>15</v>
      </c>
      <c r="B5" s="24">
        <v>2800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0A52A-F710-41C8-AC3E-A8292D87A07B}">
  <dimension ref="A1:F12"/>
  <sheetViews>
    <sheetView workbookViewId="0">
      <selection activeCell="F21" sqref="F21"/>
    </sheetView>
  </sheetViews>
  <sheetFormatPr defaultRowHeight="14.4" x14ac:dyDescent="0.3"/>
  <cols>
    <col min="1" max="1" width="15.109375" bestFit="1" customWidth="1"/>
    <col min="2" max="2" width="17.21875" bestFit="1" customWidth="1"/>
    <col min="3" max="3" width="12.109375" bestFit="1" customWidth="1"/>
    <col min="4" max="5" width="9.5546875" bestFit="1" customWidth="1"/>
    <col min="6" max="6" width="28.88671875" bestFit="1" customWidth="1"/>
  </cols>
  <sheetData>
    <row r="1" spans="1:6" ht="18" customHeight="1" x14ac:dyDescent="0.45">
      <c r="A1" s="9" t="s">
        <v>0</v>
      </c>
      <c r="B1" s="10" t="s">
        <v>2</v>
      </c>
      <c r="C1" s="11" t="s">
        <v>1</v>
      </c>
      <c r="F1" s="4" t="s">
        <v>12</v>
      </c>
    </row>
    <row r="2" spans="1:6" x14ac:dyDescent="0.3">
      <c r="A2" s="7" t="s">
        <v>3</v>
      </c>
      <c r="B2" s="3" t="s">
        <v>4</v>
      </c>
      <c r="C2" s="8">
        <v>500</v>
      </c>
    </row>
    <row r="3" spans="1:6" x14ac:dyDescent="0.3">
      <c r="A3" s="7" t="s">
        <v>7</v>
      </c>
      <c r="B3" s="3" t="s">
        <v>5</v>
      </c>
      <c r="C3" s="8">
        <v>900</v>
      </c>
    </row>
    <row r="4" spans="1:6" x14ac:dyDescent="0.3">
      <c r="A4" s="12" t="s">
        <v>6</v>
      </c>
      <c r="B4" s="13" t="s">
        <v>18</v>
      </c>
      <c r="C4" s="14">
        <v>300</v>
      </c>
    </row>
    <row r="8" spans="1:6" ht="18" customHeight="1" x14ac:dyDescent="0.3">
      <c r="A8" s="17" t="s">
        <v>8</v>
      </c>
      <c r="B8" s="18" t="s">
        <v>0</v>
      </c>
      <c r="C8" s="18" t="s">
        <v>17</v>
      </c>
      <c r="D8" s="18" t="s">
        <v>9</v>
      </c>
      <c r="E8" s="18" t="s">
        <v>10</v>
      </c>
      <c r="F8" s="19" t="s">
        <v>11</v>
      </c>
    </row>
    <row r="9" spans="1:6" x14ac:dyDescent="0.3">
      <c r="A9" s="15">
        <v>1</v>
      </c>
      <c r="B9" s="1" t="s">
        <v>3</v>
      </c>
      <c r="C9" s="1" t="s">
        <v>4</v>
      </c>
      <c r="D9" s="1">
        <v>2</v>
      </c>
      <c r="E9" s="6">
        <f>_xlfn.XLOOKUP(B9, A2:A4, C2:C4) * D9</f>
        <v>1000</v>
      </c>
      <c r="F9" s="16" t="str">
        <f>IF(E9&gt;=1000,"High Sale",IF(E9&gt;=800,"Medium","Low"))</f>
        <v>High Sale</v>
      </c>
    </row>
    <row r="10" spans="1:6" x14ac:dyDescent="0.3">
      <c r="A10" s="15">
        <v>2</v>
      </c>
      <c r="B10" s="1" t="s">
        <v>7</v>
      </c>
      <c r="C10" s="1" t="s">
        <v>5</v>
      </c>
      <c r="D10" s="1">
        <v>1</v>
      </c>
      <c r="E10" s="6">
        <f>_xlfn.XLOOKUP(B10, A2:A4, C2:C4) * D10</f>
        <v>900</v>
      </c>
      <c r="F10" s="16" t="str">
        <f t="shared" ref="F10:F11" si="0">IF(E10&gt;=1000,"High Sale",IF(E10&gt;=800,"Medium","Low"))</f>
        <v>Medium</v>
      </c>
    </row>
    <row r="11" spans="1:6" x14ac:dyDescent="0.3">
      <c r="A11" s="20">
        <v>3</v>
      </c>
      <c r="B11" s="21" t="s">
        <v>6</v>
      </c>
      <c r="C11" s="21" t="s">
        <v>18</v>
      </c>
      <c r="D11" s="21">
        <v>3</v>
      </c>
      <c r="E11" s="22">
        <f>_xlfn.XLOOKUP(B11, $A$2:$A$4, $C$2:$C$4) * D11</f>
        <v>900</v>
      </c>
      <c r="F11" s="23" t="str">
        <f t="shared" si="0"/>
        <v>Medium</v>
      </c>
    </row>
    <row r="12" spans="1:6" x14ac:dyDescent="0.3">
      <c r="A12" s="3"/>
      <c r="B12" s="3"/>
      <c r="C12" s="2" t="s">
        <v>13</v>
      </c>
      <c r="D12" s="5">
        <f>SUM(E9:E11)</f>
        <v>2800</v>
      </c>
      <c r="E12" s="3"/>
    </row>
  </sheetData>
  <conditionalFormatting sqref="E9">
    <cfRule type="cellIs" dxfId="1" priority="1" operator="greaterThan">
      <formula>1000</formula>
    </cfRule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Smart Sales System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bijay mc</dc:creator>
  <cp:lastModifiedBy>bijay mc</cp:lastModifiedBy>
  <dcterms:created xsi:type="dcterms:W3CDTF">2026-04-21T14:37:39Z</dcterms:created>
  <dcterms:modified xsi:type="dcterms:W3CDTF">2026-04-21T21:06:05Z</dcterms:modified>
</cp:coreProperties>
</file>